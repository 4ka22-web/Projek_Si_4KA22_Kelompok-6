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h Eka Prabandari\Documents\A\Proyek SI\"/>
    </mc:Choice>
  </mc:AlternateContent>
  <xr:revisionPtr revIDLastSave="0" documentId="8_{B71166A2-73B1-453F-81B5-8AAB4555BF14}" xr6:coauthVersionLast="47" xr6:coauthVersionMax="47" xr10:uidLastSave="{00000000-0000-0000-0000-000000000000}"/>
  <bookViews>
    <workbookView xWindow="-108" yWindow="-108" windowWidth="23256" windowHeight="12456" xr2:uid="{179E0FA4-8586-4285-AF5A-A1297525CE0E}"/>
  </bookViews>
  <sheets>
    <sheet name="Biaya &amp; Angga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3" i="1"/>
  <c r="E14" i="1"/>
  <c r="E15" i="1"/>
  <c r="E16" i="1"/>
  <c r="E17" i="1"/>
  <c r="E18" i="1"/>
  <c r="E21" i="1"/>
  <c r="E22" i="1"/>
  <c r="E23" i="1"/>
  <c r="C24" i="1"/>
  <c r="E24" i="1" l="1"/>
</calcChain>
</file>

<file path=xl/sharedStrings.xml><?xml version="1.0" encoding="utf-8"?>
<sst xmlns="http://schemas.openxmlformats.org/spreadsheetml/2006/main" count="60" uniqueCount="52">
  <si>
    <t>Description</t>
  </si>
  <si>
    <t>Vendor/Subcontractor</t>
  </si>
  <si>
    <t>Labor Costs(IDR)/Hour</t>
  </si>
  <si>
    <t>Hour</t>
  </si>
  <si>
    <t>Line Total (IDR)</t>
  </si>
  <si>
    <t>Notes</t>
  </si>
  <si>
    <t>Planning</t>
  </si>
  <si>
    <t>Menentukan konsep, fitur utama, dan jadwal proyek.</t>
  </si>
  <si>
    <t>Analyst</t>
  </si>
  <si>
    <t>Analyst (Sherina br Pelawi)</t>
  </si>
  <si>
    <t>Analisis kebutuhan sistem dan alur transaksi web angkringan.</t>
  </si>
  <si>
    <t>UI/UX Design</t>
  </si>
  <si>
    <t xml:space="preserve"> Designer (Jihan Agfria)</t>
  </si>
  <si>
    <t>Procurement</t>
  </si>
  <si>
    <t>Software License</t>
  </si>
  <si>
    <t>Open-source (Laravel, MySQL, React)</t>
  </si>
  <si>
    <t>Additional</t>
  </si>
  <si>
    <t>Miscellaneous</t>
  </si>
  <si>
    <t>Mendesain tampilan menu dan halaman pemesanan yang menarik.</t>
  </si>
  <si>
    <t>Hosting tahunan untuk website.</t>
  </si>
  <si>
    <t>Menggunakan framework open-source.</t>
  </si>
  <si>
    <t>Biaya tak terduga selama perencanaan.</t>
  </si>
  <si>
    <t>Pre-Development</t>
  </si>
  <si>
    <t>Development</t>
  </si>
  <si>
    <t>Frontend Development</t>
  </si>
  <si>
    <t>Programmer (Nadya Ramadhanti)</t>
  </si>
  <si>
    <t>Pengembangan tampilan web menggunakan react.</t>
  </si>
  <si>
    <t>Backend Development</t>
  </si>
  <si>
    <t>Pengembangan backend menggunakan Laravel dan ingtegrasi MySQL</t>
  </si>
  <si>
    <t>Database Setup</t>
  </si>
  <si>
    <t>Setup database menu, transaksi, dan data pelanggan</t>
  </si>
  <si>
    <t>Testing/QA</t>
  </si>
  <si>
    <t>Tester (Jihan Agfria)</t>
  </si>
  <si>
    <t>Pengujian fitur pemesanan dan pembayaran</t>
  </si>
  <si>
    <t>Integration</t>
  </si>
  <si>
    <t>Programmer/Tester (Nadya Ramadhanti/Jihan Agfria)</t>
  </si>
  <si>
    <t>Integrasi frontend, backend, dan database.</t>
  </si>
  <si>
    <t>Biaya tambahan pengembangan</t>
  </si>
  <si>
    <t>Post-Development</t>
  </si>
  <si>
    <t>Deployment</t>
  </si>
  <si>
    <t>Upload dan konfigurasi website.</t>
  </si>
  <si>
    <t>Testing (final)</t>
  </si>
  <si>
    <t>Pengujian akhir sebelum go-live.</t>
  </si>
  <si>
    <t>Documentation Closeout</t>
  </si>
  <si>
    <t>Dokumentasi proyek dan panduan admin.</t>
  </si>
  <si>
    <t>Biaya tak terduga pasca-pengembangan</t>
  </si>
  <si>
    <t>Total</t>
  </si>
  <si>
    <t>135 JAM</t>
  </si>
  <si>
    <t>Project Manajer (Asnita Amalia P P)</t>
  </si>
  <si>
    <t>Vercel (Hosting)</t>
  </si>
  <si>
    <t>Vercel(Hosting)</t>
  </si>
  <si>
    <t>Biaya &amp; Anggaran Proyek Website Pencatatan Penjualan Angkringan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</si>
</sst>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BA57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A5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1FA7-134D-4DE2-B9D9-A60EC2445076}">
  <dimension ref="A1:F24"/>
  <sheetViews>
    <sheetView tabSelected="1" workbookViewId="0">
      <selection activeCell="F25" sqref="F25"/>
    </sheetView>
  </sheetViews>
  <sheetFormatPr defaultRowHeight="14.4" x14ac:dyDescent="0.3"/>
  <cols>
    <col min="1" max="1" width="21" bestFit="1" customWidth="1"/>
    <col min="2" max="2" width="44" bestFit="1" customWidth="1"/>
    <col min="3" max="3" width="19.77734375" bestFit="1" customWidth="1"/>
    <col min="4" max="4" width="7.5546875" bestFit="1" customWidth="1"/>
    <col min="5" max="5" width="14.88671875" bestFit="1" customWidth="1"/>
    <col min="6" max="6" width="56.77734375" bestFit="1" customWidth="1"/>
  </cols>
  <sheetData>
    <row r="1" spans="1:6" ht="14.4" customHeight="1" x14ac:dyDescent="0.3">
      <c r="A1" s="6" t="s">
        <v>51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 x14ac:dyDescent="0.3">
      <c r="A5" s="7" t="s">
        <v>22</v>
      </c>
      <c r="B5" s="7"/>
      <c r="C5" s="7"/>
      <c r="D5" s="7"/>
      <c r="E5" s="7"/>
      <c r="F5" s="7"/>
    </row>
    <row r="6" spans="1:6" x14ac:dyDescent="0.3">
      <c r="A6" s="3" t="s">
        <v>6</v>
      </c>
      <c r="B6" s="3" t="s">
        <v>48</v>
      </c>
      <c r="C6" s="4">
        <v>100000</v>
      </c>
      <c r="D6" s="3">
        <v>8</v>
      </c>
      <c r="E6" s="4">
        <f>SUM(C6*D6)</f>
        <v>800000</v>
      </c>
      <c r="F6" s="3" t="s">
        <v>7</v>
      </c>
    </row>
    <row r="7" spans="1:6" x14ac:dyDescent="0.3">
      <c r="A7" s="3" t="s">
        <v>8</v>
      </c>
      <c r="B7" s="3" t="s">
        <v>9</v>
      </c>
      <c r="C7" s="4">
        <v>80000</v>
      </c>
      <c r="D7" s="3">
        <v>10</v>
      </c>
      <c r="E7" s="4">
        <f t="shared" ref="E7:E11" si="0">SUM(C7*D7)</f>
        <v>800000</v>
      </c>
      <c r="F7" s="3" t="s">
        <v>10</v>
      </c>
    </row>
    <row r="8" spans="1:6" x14ac:dyDescent="0.3">
      <c r="A8" s="3" t="s">
        <v>11</v>
      </c>
      <c r="B8" s="3" t="s">
        <v>12</v>
      </c>
      <c r="C8" s="4">
        <v>50000</v>
      </c>
      <c r="D8" s="3">
        <v>15</v>
      </c>
      <c r="E8" s="4">
        <f t="shared" si="0"/>
        <v>750000</v>
      </c>
      <c r="F8" s="3" t="s">
        <v>18</v>
      </c>
    </row>
    <row r="9" spans="1:6" x14ac:dyDescent="0.3">
      <c r="A9" s="3" t="s">
        <v>13</v>
      </c>
      <c r="B9" s="3" t="s">
        <v>49</v>
      </c>
      <c r="C9" s="4">
        <v>0</v>
      </c>
      <c r="D9" s="3">
        <v>0</v>
      </c>
      <c r="E9" s="4">
        <f t="shared" si="0"/>
        <v>0</v>
      </c>
      <c r="F9" s="3" t="s">
        <v>19</v>
      </c>
    </row>
    <row r="10" spans="1:6" x14ac:dyDescent="0.3">
      <c r="A10" s="3" t="s">
        <v>14</v>
      </c>
      <c r="B10" s="3" t="s">
        <v>15</v>
      </c>
      <c r="C10" s="4">
        <v>0</v>
      </c>
      <c r="D10" s="3">
        <v>0</v>
      </c>
      <c r="E10" s="4">
        <f t="shared" si="0"/>
        <v>0</v>
      </c>
      <c r="F10" s="3" t="s">
        <v>20</v>
      </c>
    </row>
    <row r="11" spans="1:6" x14ac:dyDescent="0.3">
      <c r="A11" s="3" t="s">
        <v>16</v>
      </c>
      <c r="B11" s="3" t="s">
        <v>17</v>
      </c>
      <c r="C11" s="4">
        <v>300000</v>
      </c>
      <c r="D11" s="3">
        <v>1</v>
      </c>
      <c r="E11" s="4">
        <f t="shared" si="0"/>
        <v>300000</v>
      </c>
      <c r="F11" s="3" t="s">
        <v>21</v>
      </c>
    </row>
    <row r="12" spans="1:6" x14ac:dyDescent="0.3">
      <c r="A12" s="7" t="s">
        <v>23</v>
      </c>
      <c r="B12" s="7"/>
      <c r="C12" s="7"/>
      <c r="D12" s="7"/>
      <c r="E12" s="7"/>
      <c r="F12" s="7"/>
    </row>
    <row r="13" spans="1:6" x14ac:dyDescent="0.3">
      <c r="A13" s="3" t="s">
        <v>24</v>
      </c>
      <c r="B13" s="3" t="s">
        <v>25</v>
      </c>
      <c r="C13" s="4">
        <v>85000</v>
      </c>
      <c r="D13" s="3">
        <v>30</v>
      </c>
      <c r="E13" s="4">
        <f t="shared" ref="E13:E18" si="1">SUM(C13*D13)</f>
        <v>2550000</v>
      </c>
      <c r="F13" s="3" t="s">
        <v>26</v>
      </c>
    </row>
    <row r="14" spans="1:6" x14ac:dyDescent="0.3">
      <c r="A14" s="3" t="s">
        <v>27</v>
      </c>
      <c r="B14" s="3" t="s">
        <v>25</v>
      </c>
      <c r="C14" s="4">
        <v>85000</v>
      </c>
      <c r="D14" s="3">
        <v>30</v>
      </c>
      <c r="E14" s="4">
        <f t="shared" si="1"/>
        <v>2550000</v>
      </c>
      <c r="F14" s="3" t="s">
        <v>28</v>
      </c>
    </row>
    <row r="15" spans="1:6" x14ac:dyDescent="0.3">
      <c r="A15" s="3" t="s">
        <v>29</v>
      </c>
      <c r="B15" s="3" t="s">
        <v>25</v>
      </c>
      <c r="C15" s="4">
        <v>85000</v>
      </c>
      <c r="D15" s="3">
        <v>5</v>
      </c>
      <c r="E15" s="4">
        <f t="shared" si="1"/>
        <v>425000</v>
      </c>
      <c r="F15" s="3" t="s">
        <v>30</v>
      </c>
    </row>
    <row r="16" spans="1:6" x14ac:dyDescent="0.3">
      <c r="A16" s="3" t="s">
        <v>31</v>
      </c>
      <c r="B16" s="3" t="s">
        <v>32</v>
      </c>
      <c r="C16" s="4">
        <v>70000</v>
      </c>
      <c r="D16" s="3">
        <v>15</v>
      </c>
      <c r="E16" s="4">
        <f t="shared" si="1"/>
        <v>1050000</v>
      </c>
      <c r="F16" s="3" t="s">
        <v>33</v>
      </c>
    </row>
    <row r="17" spans="1:6" x14ac:dyDescent="0.3">
      <c r="A17" s="3" t="s">
        <v>34</v>
      </c>
      <c r="B17" s="3" t="s">
        <v>35</v>
      </c>
      <c r="C17" s="4">
        <v>155000</v>
      </c>
      <c r="D17" s="3">
        <v>5</v>
      </c>
      <c r="E17" s="4">
        <f t="shared" si="1"/>
        <v>775000</v>
      </c>
      <c r="F17" s="3" t="s">
        <v>36</v>
      </c>
    </row>
    <row r="18" spans="1:6" x14ac:dyDescent="0.3">
      <c r="A18" s="3" t="s">
        <v>16</v>
      </c>
      <c r="B18" s="3" t="s">
        <v>17</v>
      </c>
      <c r="C18" s="4">
        <v>300000</v>
      </c>
      <c r="D18" s="3">
        <v>1</v>
      </c>
      <c r="E18" s="4">
        <f t="shared" si="1"/>
        <v>300000</v>
      </c>
      <c r="F18" s="3" t="s">
        <v>37</v>
      </c>
    </row>
    <row r="19" spans="1:6" x14ac:dyDescent="0.3">
      <c r="A19" s="7" t="s">
        <v>38</v>
      </c>
      <c r="B19" s="7"/>
      <c r="C19" s="7"/>
      <c r="D19" s="7"/>
      <c r="E19" s="7"/>
      <c r="F19" s="7"/>
    </row>
    <row r="20" spans="1:6" x14ac:dyDescent="0.3">
      <c r="A20" s="3" t="s">
        <v>39</v>
      </c>
      <c r="B20" s="3" t="s">
        <v>50</v>
      </c>
      <c r="C20" s="4">
        <v>0</v>
      </c>
      <c r="D20" s="3">
        <v>0</v>
      </c>
      <c r="E20" s="4">
        <v>0</v>
      </c>
      <c r="F20" s="3" t="s">
        <v>40</v>
      </c>
    </row>
    <row r="21" spans="1:6" x14ac:dyDescent="0.3">
      <c r="A21" s="3" t="s">
        <v>41</v>
      </c>
      <c r="B21" s="3" t="s">
        <v>32</v>
      </c>
      <c r="C21" s="4">
        <v>70000</v>
      </c>
      <c r="D21" s="3">
        <v>10</v>
      </c>
      <c r="E21" s="4">
        <f>SUM(C21*D21)</f>
        <v>700000</v>
      </c>
      <c r="F21" s="3" t="s">
        <v>42</v>
      </c>
    </row>
    <row r="22" spans="1:6" x14ac:dyDescent="0.3">
      <c r="A22" s="3" t="s">
        <v>43</v>
      </c>
      <c r="B22" s="3" t="s">
        <v>48</v>
      </c>
      <c r="C22" s="4">
        <v>100000</v>
      </c>
      <c r="D22" s="3">
        <v>4</v>
      </c>
      <c r="E22" s="4">
        <f>SUM(C22*D22)</f>
        <v>400000</v>
      </c>
      <c r="F22" s="3" t="s">
        <v>44</v>
      </c>
    </row>
    <row r="23" spans="1:6" x14ac:dyDescent="0.3">
      <c r="A23" s="3" t="s">
        <v>16</v>
      </c>
      <c r="B23" s="3" t="s">
        <v>17</v>
      </c>
      <c r="C23" s="4">
        <v>300000</v>
      </c>
      <c r="D23" s="3">
        <v>1</v>
      </c>
      <c r="E23" s="4">
        <f>SUM(C23*D23)</f>
        <v>300000</v>
      </c>
      <c r="F23" s="3" t="s">
        <v>45</v>
      </c>
    </row>
    <row r="24" spans="1:6" x14ac:dyDescent="0.3">
      <c r="A24" s="5" t="s">
        <v>46</v>
      </c>
      <c r="B24" s="5"/>
      <c r="C24" s="4">
        <f>SUM(C6:C23)</f>
        <v>1780000</v>
      </c>
      <c r="D24" s="3" t="s">
        <v>47</v>
      </c>
      <c r="E24" s="4">
        <f>SUM(E6:E23)</f>
        <v>11700000</v>
      </c>
      <c r="F24" s="3"/>
    </row>
  </sheetData>
  <mergeCells count="5">
    <mergeCell ref="A24:B24"/>
    <mergeCell ref="A1:F2"/>
    <mergeCell ref="A5:F5"/>
    <mergeCell ref="A12:F12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Biaya &amp; Anggaran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Diah Midi</dc:creator>
  <cp:lastModifiedBy>Diah Midi</cp:lastModifiedBy>
  <dcterms:created xsi:type="dcterms:W3CDTF">2025-10-25T05:39:47Z</dcterms:created>
  <dcterms:modified xsi:type="dcterms:W3CDTF">2025-10-25T15:46:16Z</dcterms:modified>
</cp:coreProperties>
</file>